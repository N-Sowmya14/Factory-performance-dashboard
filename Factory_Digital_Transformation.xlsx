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16212" windowHeight="5808"/>
  </bookViews>
  <sheets>
    <sheet name="Inventory" sheetId="1" r:id="rId1"/>
    <sheet name="Production" sheetId="2" r:id="rId2"/>
    <sheet name="Dashboard" sheetId="3" r:id="rId3"/>
  </sheets>
  <calcPr calcId="124519"/>
</workbook>
</file>

<file path=xl/calcChain.xml><?xml version="1.0" encoding="utf-8"?>
<calcChain xmlns="http://schemas.openxmlformats.org/spreadsheetml/2006/main">
  <c r="K3" i="2"/>
  <c r="K2"/>
  <c r="H2"/>
  <c r="G2"/>
  <c r="F2"/>
  <c r="B8" i="3"/>
  <c r="B7"/>
  <c r="B5"/>
  <c r="B4"/>
  <c r="H3" i="2"/>
  <c r="H4"/>
  <c r="H5"/>
  <c r="H6"/>
  <c r="G3"/>
  <c r="G4"/>
  <c r="G5"/>
  <c r="G6"/>
  <c r="F3"/>
  <c r="F4"/>
  <c r="F5"/>
  <c r="F6"/>
  <c r="M3" i="1"/>
  <c r="M4"/>
  <c r="M2"/>
  <c r="J7"/>
  <c r="J2"/>
  <c r="J3"/>
  <c r="J4"/>
  <c r="J5"/>
  <c r="J6"/>
  <c r="I2"/>
  <c r="I3"/>
  <c r="I4"/>
  <c r="G2"/>
  <c r="G3"/>
  <c r="G4"/>
  <c r="G5"/>
  <c r="I5" s="1"/>
  <c r="G6"/>
  <c r="I6" s="1"/>
  <c r="K4" i="2" l="1"/>
  <c r="B6" i="3"/>
</calcChain>
</file>

<file path=xl/sharedStrings.xml><?xml version="1.0" encoding="utf-8"?>
<sst xmlns="http://schemas.openxmlformats.org/spreadsheetml/2006/main" count="48" uniqueCount="39">
  <si>
    <t>Material ID</t>
  </si>
  <si>
    <t>Material Name</t>
  </si>
  <si>
    <t>Opening Stock</t>
  </si>
  <si>
    <t>Received Qty</t>
  </si>
  <si>
    <t>Used Qty</t>
  </si>
  <si>
    <t>Unit Cost (₹)</t>
  </si>
  <si>
    <t>M001</t>
  </si>
  <si>
    <t>Stainless Steel Sheets</t>
  </si>
  <si>
    <t>M002</t>
  </si>
  <si>
    <t>Bottle Caps</t>
  </si>
  <si>
    <t>M003</t>
  </si>
  <si>
    <t>Plastic Lids</t>
  </si>
  <si>
    <t>M004</t>
  </si>
  <si>
    <t>Packaging Boxes</t>
  </si>
  <si>
    <t>M005</t>
  </si>
  <si>
    <t>Rubber Seals</t>
  </si>
  <si>
    <t>Closing Stock</t>
  </si>
  <si>
    <t>Minimum Stock</t>
  </si>
  <si>
    <t>Stock Status</t>
  </si>
  <si>
    <t>Closing Stock Value</t>
  </si>
  <si>
    <t>Inventory Summary</t>
  </si>
  <si>
    <t>Total Materials</t>
  </si>
  <si>
    <t>Total Stock Value</t>
  </si>
  <si>
    <t>Materials to Reorder</t>
  </si>
  <si>
    <t>Date</t>
  </si>
  <si>
    <t>Product</t>
  </si>
  <si>
    <t>Daily Target</t>
  </si>
  <si>
    <t>Produced Qty</t>
  </si>
  <si>
    <t>Sold Qty</t>
  </si>
  <si>
    <t>Steel Water Bottle</t>
  </si>
  <si>
    <t>Target Achievement</t>
  </si>
  <si>
    <t>Unsold Qty</t>
  </si>
  <si>
    <t>Production Status</t>
  </si>
  <si>
    <t>Production Summary</t>
  </si>
  <si>
    <t>Total Produced</t>
  </si>
  <si>
    <t>Total Sold</t>
  </si>
  <si>
    <t>Days Target Met</t>
  </si>
  <si>
    <t>FACTORY PERFORMANCE DASHBOARD</t>
  </si>
  <si>
    <t>Total Inventory Value</t>
  </si>
</sst>
</file>

<file path=xl/styles.xml><?xml version="1.0" encoding="utf-8"?>
<styleSheet xmlns="http://schemas.openxmlformats.org/spreadsheetml/2006/main">
  <numFmts count="1">
    <numFmt numFmtId="170" formatCode="&quot;₹&quot;\ #,##0;[Red]&quot;₹&quot;\ #,##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NumberFormat="1"/>
    <xf numFmtId="0" fontId="2" fillId="0" borderId="0" xfId="0" applyFont="1"/>
    <xf numFmtId="0" fontId="0" fillId="0" borderId="0" xfId="0" applyBorder="1"/>
    <xf numFmtId="0" fontId="0" fillId="0" borderId="0" xfId="0" applyNumberFormat="1" applyBorder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170" fontId="0" fillId="0" borderId="0" xfId="0" applyNumberFormat="1"/>
    <xf numFmtId="15" fontId="0" fillId="0" borderId="0" xfId="0" applyNumberFormat="1"/>
    <xf numFmtId="0" fontId="1" fillId="0" borderId="0" xfId="0" applyFont="1"/>
    <xf numFmtId="0" fontId="0" fillId="0" borderId="0" xfId="0" applyNumberFormat="1" applyFont="1"/>
    <xf numFmtId="9" fontId="0" fillId="0" borderId="0" xfId="0" applyNumberFormat="1"/>
    <xf numFmtId="0" fontId="3" fillId="0" borderId="0" xfId="0" applyFont="1"/>
    <xf numFmtId="0" fontId="1" fillId="2" borderId="0" xfId="0" applyFont="1" applyFill="1"/>
    <xf numFmtId="0" fontId="0" fillId="3" borderId="0" xfId="0" applyFill="1"/>
    <xf numFmtId="170" fontId="0" fillId="3" borderId="0" xfId="0" applyNumberFormat="1" applyFill="1"/>
    <xf numFmtId="0" fontId="2" fillId="3" borderId="0" xfId="0" applyFont="1" applyFill="1"/>
  </cellXfs>
  <cellStyles count="1">
    <cellStyle name="Normal" xfId="0" builtinId="0"/>
  </cellStyles>
  <dxfs count="13">
    <dxf>
      <numFmt numFmtId="0" formatCode="General"/>
      <border diagonalUp="0" diagonalDown="0" outline="0">
        <left/>
        <right/>
        <top/>
        <bottom/>
      </border>
    </dxf>
    <dxf>
      <numFmt numFmtId="0" formatCode="General"/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numFmt numFmtId="0" formatCode="General"/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b="1"/>
            </a:pPr>
            <a:r>
              <a:rPr lang="en-US" sz="1800" b="1" i="0" u="none" strike="noStrike" baseline="0"/>
              <a:t>Daily Production vs Target</a:t>
            </a:r>
            <a:endParaRPr lang="en-US" b="1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Production!$C$1</c:f>
              <c:strCache>
                <c:ptCount val="1"/>
                <c:pt idx="0">
                  <c:v>Daily Target</c:v>
                </c:pt>
              </c:strCache>
            </c:strRef>
          </c:tx>
          <c:cat>
            <c:numRef>
              <c:f>Production!$A$2:$A$6</c:f>
              <c:numCache>
                <c:formatCode>dd/mmm/yy</c:formatCode>
                <c:ptCount val="5"/>
                <c:pt idx="0">
                  <c:v>46315</c:v>
                </c:pt>
                <c:pt idx="1">
                  <c:v>46316</c:v>
                </c:pt>
                <c:pt idx="2">
                  <c:v>46317</c:v>
                </c:pt>
                <c:pt idx="3">
                  <c:v>46318</c:v>
                </c:pt>
                <c:pt idx="4">
                  <c:v>46319</c:v>
                </c:pt>
              </c:numCache>
            </c:numRef>
          </c:cat>
          <c:val>
            <c:numRef>
              <c:f>Production!$C$2:$C$6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</c:ser>
        <c:ser>
          <c:idx val="1"/>
          <c:order val="1"/>
          <c:tx>
            <c:strRef>
              <c:f>Production!$D$1</c:f>
              <c:strCache>
                <c:ptCount val="1"/>
                <c:pt idx="0">
                  <c:v>Produced Qty</c:v>
                </c:pt>
              </c:strCache>
            </c:strRef>
          </c:tx>
          <c:cat>
            <c:numRef>
              <c:f>Production!$A$2:$A$6</c:f>
              <c:numCache>
                <c:formatCode>dd/mmm/yy</c:formatCode>
                <c:ptCount val="5"/>
                <c:pt idx="0">
                  <c:v>46315</c:v>
                </c:pt>
                <c:pt idx="1">
                  <c:v>46316</c:v>
                </c:pt>
                <c:pt idx="2">
                  <c:v>46317</c:v>
                </c:pt>
                <c:pt idx="3">
                  <c:v>46318</c:v>
                </c:pt>
                <c:pt idx="4">
                  <c:v>46319</c:v>
                </c:pt>
              </c:numCache>
            </c:numRef>
          </c:cat>
          <c:val>
            <c:numRef>
              <c:f>Production!$D$2:$D$6</c:f>
              <c:numCache>
                <c:formatCode>General</c:formatCode>
                <c:ptCount val="5"/>
                <c:pt idx="0">
                  <c:v>90</c:v>
                </c:pt>
                <c:pt idx="1">
                  <c:v>110</c:v>
                </c:pt>
                <c:pt idx="2">
                  <c:v>85</c:v>
                </c:pt>
                <c:pt idx="3">
                  <c:v>100</c:v>
                </c:pt>
                <c:pt idx="4">
                  <c:v>95</c:v>
                </c:pt>
              </c:numCache>
            </c:numRef>
          </c:val>
        </c:ser>
        <c:axId val="148742528"/>
        <c:axId val="148744064"/>
      </c:barChart>
      <c:dateAx>
        <c:axId val="148742528"/>
        <c:scaling>
          <c:orientation val="minMax"/>
        </c:scaling>
        <c:axPos val="b"/>
        <c:numFmt formatCode="dd/mmm/yy" sourceLinked="1"/>
        <c:tickLblPos val="nextTo"/>
        <c:crossAx val="148744064"/>
        <c:crosses val="autoZero"/>
        <c:auto val="1"/>
        <c:lblOffset val="100"/>
      </c:dateAx>
      <c:valAx>
        <c:axId val="148744064"/>
        <c:scaling>
          <c:orientation val="minMax"/>
        </c:scaling>
        <c:axPos val="l"/>
        <c:majorGridlines/>
        <c:numFmt formatCode="General" sourceLinked="1"/>
        <c:tickLblPos val="nextTo"/>
        <c:crossAx val="14874252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137160</xdr:colOff>
      <xdr:row>2</xdr:row>
      <xdr:rowOff>152400</xdr:rowOff>
    </xdr:from>
    <xdr:to>
      <xdr:col>12</xdr:col>
      <xdr:colOff>441960</xdr:colOff>
      <xdr:row>26</xdr:row>
      <xdr:rowOff>99060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J7" totalsRowCount="1">
  <autoFilter ref="A1:J7">
    <filterColumn colId="6"/>
    <filterColumn colId="7"/>
    <filterColumn colId="8"/>
    <filterColumn colId="9"/>
  </autoFilter>
  <tableColumns count="10">
    <tableColumn id="1" name="Material ID" totalsRowDxfId="9"/>
    <tableColumn id="2" name="Material Name" totalsRowDxfId="8"/>
    <tableColumn id="3" name="Opening Stock" totalsRowDxfId="7"/>
    <tableColumn id="4" name="Received Qty" totalsRowDxfId="6"/>
    <tableColumn id="5" name="Used Qty" totalsRowDxfId="5"/>
    <tableColumn id="6" name="Unit Cost (₹)" totalsRowDxfId="4"/>
    <tableColumn id="8" name="Closing Stock" dataDxfId="12" totalsRowDxfId="3">
      <calculatedColumnFormula>C2+D2-E2</calculatedColumnFormula>
    </tableColumn>
    <tableColumn id="9" name="Minimum Stock" totalsRowDxfId="2"/>
    <tableColumn id="10" name="Stock Status" dataDxfId="11" totalsRowDxfId="1">
      <calculatedColumnFormula>IF(G2&lt;H2,"REORDER","OK")</calculatedColumnFormula>
    </tableColumn>
    <tableColumn id="11" name="Closing Stock Value" totalsRowFunction="custom" dataDxfId="10" totalsRowDxfId="0">
      <calculatedColumnFormula>G2*F2</calculatedColumnFormula>
      <totalsRowFormula>SUM(J2:J6)</totalsRow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selection activeCell="G18" sqref="G18"/>
    </sheetView>
  </sheetViews>
  <sheetFormatPr defaultRowHeight="14.4"/>
  <cols>
    <col min="1" max="1" width="12" customWidth="1"/>
    <col min="2" max="2" width="15.109375" customWidth="1"/>
    <col min="3" max="3" width="15" customWidth="1"/>
    <col min="4" max="4" width="13.5546875" customWidth="1"/>
    <col min="5" max="5" width="10.33203125" customWidth="1"/>
    <col min="6" max="6" width="14" customWidth="1"/>
    <col min="7" max="7" width="14.88671875" customWidth="1"/>
    <col min="8" max="8" width="16.6640625" customWidth="1"/>
    <col min="9" max="9" width="13.33203125" customWidth="1"/>
    <col min="10" max="10" width="22" customWidth="1"/>
    <col min="12" max="12" width="19.44140625" customWidth="1"/>
    <col min="13" max="13" width="9.77734375" customWidth="1"/>
  </cols>
  <sheetData>
    <row r="1" spans="1:13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</v>
      </c>
      <c r="H1" t="s">
        <v>17</v>
      </c>
      <c r="I1" t="s">
        <v>18</v>
      </c>
      <c r="J1" s="2" t="s">
        <v>19</v>
      </c>
      <c r="L1" t="s">
        <v>20</v>
      </c>
    </row>
    <row r="2" spans="1:13" ht="13.8" customHeight="1">
      <c r="A2" t="s">
        <v>6</v>
      </c>
      <c r="B2" t="s">
        <v>7</v>
      </c>
      <c r="C2">
        <v>100</v>
      </c>
      <c r="D2">
        <v>50</v>
      </c>
      <c r="E2">
        <v>80</v>
      </c>
      <c r="F2">
        <v>200</v>
      </c>
      <c r="G2">
        <f>C2+D2-E2</f>
        <v>70</v>
      </c>
      <c r="H2">
        <v>60</v>
      </c>
      <c r="I2" s="1" t="str">
        <f t="shared" ref="I2:I6" si="0">IF(G2&lt;H2,"REORDER","OK")</f>
        <v>OK</v>
      </c>
      <c r="J2" s="1">
        <f t="shared" ref="J2:J6" si="1">G2*F2</f>
        <v>14000</v>
      </c>
      <c r="L2" t="s">
        <v>21</v>
      </c>
      <c r="M2">
        <f>COUNTA(B2:B6)</f>
        <v>5</v>
      </c>
    </row>
    <row r="3" spans="1:13" ht="14.4" customHeight="1">
      <c r="A3" t="s">
        <v>8</v>
      </c>
      <c r="B3" t="s">
        <v>9</v>
      </c>
      <c r="C3">
        <v>500</v>
      </c>
      <c r="D3">
        <v>300</v>
      </c>
      <c r="E3">
        <v>400</v>
      </c>
      <c r="F3">
        <v>5</v>
      </c>
      <c r="G3" s="1">
        <f t="shared" ref="G2:G6" si="2">C3+D3-E3</f>
        <v>400</v>
      </c>
      <c r="H3">
        <v>350</v>
      </c>
      <c r="I3" s="1" t="str">
        <f t="shared" si="0"/>
        <v>OK</v>
      </c>
      <c r="J3" s="1">
        <f t="shared" si="1"/>
        <v>2000</v>
      </c>
      <c r="L3" t="s">
        <v>22</v>
      </c>
      <c r="M3" s="7">
        <f>SUM(J2:J6)</f>
        <v>19690</v>
      </c>
    </row>
    <row r="4" spans="1:13" ht="15">
      <c r="A4" t="s">
        <v>10</v>
      </c>
      <c r="B4" t="s">
        <v>11</v>
      </c>
      <c r="C4">
        <v>300</v>
      </c>
      <c r="D4">
        <v>100</v>
      </c>
      <c r="E4">
        <v>250</v>
      </c>
      <c r="F4">
        <v>8</v>
      </c>
      <c r="G4" s="1">
        <f t="shared" si="2"/>
        <v>150</v>
      </c>
      <c r="H4">
        <v>200</v>
      </c>
      <c r="I4" s="1" t="str">
        <f t="shared" si="0"/>
        <v>REORDER</v>
      </c>
      <c r="J4" s="1">
        <f t="shared" si="1"/>
        <v>1200</v>
      </c>
      <c r="L4" t="s">
        <v>23</v>
      </c>
      <c r="M4" s="2">
        <f>COUNTIF(I2:I6,"REORDER")</f>
        <v>2</v>
      </c>
    </row>
    <row r="5" spans="1:13" ht="13.8" customHeight="1">
      <c r="A5" t="s">
        <v>12</v>
      </c>
      <c r="B5" t="s">
        <v>13</v>
      </c>
      <c r="C5">
        <v>200</v>
      </c>
      <c r="D5">
        <v>150</v>
      </c>
      <c r="E5">
        <v>180</v>
      </c>
      <c r="F5">
        <v>12</v>
      </c>
      <c r="G5" s="1">
        <f t="shared" si="2"/>
        <v>170</v>
      </c>
      <c r="H5">
        <v>150</v>
      </c>
      <c r="I5" s="1" t="str">
        <f t="shared" si="0"/>
        <v>OK</v>
      </c>
      <c r="J5" s="1">
        <f t="shared" si="1"/>
        <v>2040</v>
      </c>
      <c r="L5" s="5"/>
      <c r="M5" s="5"/>
    </row>
    <row r="6" spans="1:13" ht="15">
      <c r="A6" t="s">
        <v>14</v>
      </c>
      <c r="B6" t="s">
        <v>15</v>
      </c>
      <c r="C6">
        <v>400</v>
      </c>
      <c r="D6">
        <v>100</v>
      </c>
      <c r="E6">
        <v>350</v>
      </c>
      <c r="F6">
        <v>3</v>
      </c>
      <c r="G6" s="1">
        <f t="shared" si="2"/>
        <v>150</v>
      </c>
      <c r="H6">
        <v>200</v>
      </c>
      <c r="I6" s="1" t="str">
        <f t="shared" si="0"/>
        <v>REORDER</v>
      </c>
      <c r="J6" s="1">
        <f t="shared" si="1"/>
        <v>450</v>
      </c>
      <c r="L6" s="5"/>
      <c r="M6" s="6"/>
    </row>
    <row r="7" spans="1:13" ht="14.4" customHeight="1">
      <c r="A7" s="3"/>
      <c r="B7" s="3"/>
      <c r="C7" s="3"/>
      <c r="D7" s="3"/>
      <c r="E7" s="3"/>
      <c r="F7" s="3"/>
      <c r="G7" s="4"/>
      <c r="H7" s="3"/>
      <c r="I7" s="4"/>
      <c r="J7" s="4">
        <f>SUM(J2:J6)</f>
        <v>19690</v>
      </c>
      <c r="L7" s="5"/>
      <c r="M7" s="5"/>
    </row>
    <row r="8" spans="1:13" ht="15">
      <c r="L8" s="5"/>
      <c r="M8" s="6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>
      <selection activeCell="H2" sqref="H2"/>
    </sheetView>
  </sheetViews>
  <sheetFormatPr defaultRowHeight="14.4"/>
  <cols>
    <col min="1" max="1" width="11.6640625" customWidth="1"/>
    <col min="2" max="2" width="15.77734375" customWidth="1"/>
    <col min="3" max="3" width="10.44140625" customWidth="1"/>
    <col min="4" max="4" width="12.44140625" customWidth="1"/>
    <col min="6" max="6" width="18" customWidth="1"/>
    <col min="7" max="7" width="10.44140625" customWidth="1"/>
    <col min="8" max="8" width="15.109375" customWidth="1"/>
    <col min="10" max="10" width="18.33203125" customWidth="1"/>
  </cols>
  <sheetData>
    <row r="1" spans="1:11">
      <c r="A1" s="9" t="s">
        <v>24</v>
      </c>
      <c r="B1" s="9" t="s">
        <v>25</v>
      </c>
      <c r="C1" s="9" t="s">
        <v>26</v>
      </c>
      <c r="D1" s="9" t="s">
        <v>27</v>
      </c>
      <c r="E1" s="9" t="s">
        <v>28</v>
      </c>
      <c r="F1" s="9" t="s">
        <v>30</v>
      </c>
      <c r="G1" s="9" t="s">
        <v>31</v>
      </c>
      <c r="H1" s="9" t="s">
        <v>32</v>
      </c>
      <c r="J1" t="s">
        <v>33</v>
      </c>
    </row>
    <row r="2" spans="1:11">
      <c r="A2" s="8">
        <v>46315</v>
      </c>
      <c r="B2" s="10" t="s">
        <v>29</v>
      </c>
      <c r="C2" s="10">
        <v>100</v>
      </c>
      <c r="D2" s="10">
        <v>90</v>
      </c>
      <c r="E2" s="10">
        <v>75</v>
      </c>
      <c r="F2" s="11">
        <f>D2/C2</f>
        <v>0.9</v>
      </c>
      <c r="G2">
        <f>D2-E2</f>
        <v>15</v>
      </c>
      <c r="H2" t="str">
        <f>IF(D2&gt;=C2,"Target Met","Below Target")</f>
        <v>Below Target</v>
      </c>
      <c r="J2" t="s">
        <v>34</v>
      </c>
      <c r="K2">
        <f>SUM(D2:D6)</f>
        <v>480</v>
      </c>
    </row>
    <row r="3" spans="1:11">
      <c r="A3" s="8">
        <v>46316</v>
      </c>
      <c r="B3" s="10" t="s">
        <v>29</v>
      </c>
      <c r="C3" s="10">
        <v>100</v>
      </c>
      <c r="D3" s="10">
        <v>110</v>
      </c>
      <c r="E3" s="10">
        <v>95</v>
      </c>
      <c r="F3" s="11">
        <f t="shared" ref="F3:F6" si="0">D3/C3</f>
        <v>1.1000000000000001</v>
      </c>
      <c r="G3">
        <f t="shared" ref="G3:G6" si="1">D3-E3</f>
        <v>15</v>
      </c>
      <c r="H3" t="str">
        <f t="shared" ref="H3:H6" si="2">IF(D3&gt;=C3,"Target Met","Below Target")</f>
        <v>Target Met</v>
      </c>
      <c r="J3" t="s">
        <v>35</v>
      </c>
      <c r="K3">
        <f>SUM(E2:E6)</f>
        <v>425</v>
      </c>
    </row>
    <row r="4" spans="1:11">
      <c r="A4" s="8">
        <v>46317</v>
      </c>
      <c r="B4" s="10" t="s">
        <v>29</v>
      </c>
      <c r="C4" s="10">
        <v>100</v>
      </c>
      <c r="D4" s="10">
        <v>85</v>
      </c>
      <c r="E4" s="10">
        <v>80</v>
      </c>
      <c r="F4" s="11">
        <f t="shared" si="0"/>
        <v>0.85</v>
      </c>
      <c r="G4">
        <f t="shared" si="1"/>
        <v>5</v>
      </c>
      <c r="H4" t="str">
        <f t="shared" si="2"/>
        <v>Below Target</v>
      </c>
      <c r="J4" t="s">
        <v>36</v>
      </c>
      <c r="K4">
        <f>COUNTIF(H2:H6,"Target Met")</f>
        <v>2</v>
      </c>
    </row>
    <row r="5" spans="1:11">
      <c r="A5" s="8">
        <v>46318</v>
      </c>
      <c r="B5" s="10" t="s">
        <v>29</v>
      </c>
      <c r="C5" s="10">
        <v>100</v>
      </c>
      <c r="D5" s="10">
        <v>100</v>
      </c>
      <c r="E5" s="10">
        <v>90</v>
      </c>
      <c r="F5" s="11">
        <f t="shared" si="0"/>
        <v>1</v>
      </c>
      <c r="G5">
        <f t="shared" si="1"/>
        <v>10</v>
      </c>
      <c r="H5" t="str">
        <f t="shared" si="2"/>
        <v>Target Met</v>
      </c>
    </row>
    <row r="6" spans="1:11">
      <c r="A6" s="8">
        <v>46319</v>
      </c>
      <c r="B6" s="10" t="s">
        <v>29</v>
      </c>
      <c r="C6" s="10">
        <v>100</v>
      </c>
      <c r="D6" s="10">
        <v>95</v>
      </c>
      <c r="E6" s="10">
        <v>85</v>
      </c>
      <c r="F6" s="11">
        <f t="shared" si="0"/>
        <v>0.95</v>
      </c>
      <c r="G6">
        <f t="shared" si="1"/>
        <v>10</v>
      </c>
      <c r="H6" t="str">
        <f t="shared" si="2"/>
        <v>Below Target</v>
      </c>
    </row>
    <row r="7" spans="1:11">
      <c r="A7" s="10"/>
      <c r="B7" s="10"/>
      <c r="C7" s="10"/>
      <c r="D7" s="10"/>
      <c r="E7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selection activeCell="D13" sqref="D13"/>
    </sheetView>
  </sheetViews>
  <sheetFormatPr defaultRowHeight="14.4"/>
  <cols>
    <col min="1" max="1" width="33.6640625" customWidth="1"/>
  </cols>
  <sheetData>
    <row r="1" spans="1:2" ht="21">
      <c r="A1" s="12" t="s">
        <v>37</v>
      </c>
    </row>
    <row r="3" spans="1:2">
      <c r="A3" s="9" t="s">
        <v>33</v>
      </c>
      <c r="B3" s="13"/>
    </row>
    <row r="4" spans="1:2">
      <c r="A4" s="14" t="s">
        <v>34</v>
      </c>
      <c r="B4" s="14">
        <f>SUM(Production!D2:D6)</f>
        <v>480</v>
      </c>
    </row>
    <row r="5" spans="1:2">
      <c r="A5" s="14" t="s">
        <v>35</v>
      </c>
      <c r="B5" s="14">
        <f>SUM(Production!E2:E6)</f>
        <v>425</v>
      </c>
    </row>
    <row r="6" spans="1:2">
      <c r="A6" s="14" t="s">
        <v>36</v>
      </c>
      <c r="B6" s="14">
        <f>COUNTIF(Production!H2:H6,"Target Met")</f>
        <v>2</v>
      </c>
    </row>
    <row r="7" spans="1:2">
      <c r="A7" s="14" t="s">
        <v>38</v>
      </c>
      <c r="B7" s="15">
        <f>SUM(Inventory!J2:J6)</f>
        <v>19690</v>
      </c>
    </row>
    <row r="8" spans="1:2" ht="15">
      <c r="A8" s="14" t="s">
        <v>23</v>
      </c>
      <c r="B8" s="16">
        <f>COUNTIF(Inventory!I2:I6,"REORDER")</f>
        <v>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</vt:lpstr>
      <vt:lpstr>Production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NAGUMOTHU PHANEENDRA</dc:creator>
  <cp:lastModifiedBy>NAGUMOTHU PHANEENDRA</cp:lastModifiedBy>
  <dcterms:created xsi:type="dcterms:W3CDTF">2026-10-24T03:11:51Z</dcterms:created>
  <dcterms:modified xsi:type="dcterms:W3CDTF">2026-10-24T06:34:30Z</dcterms:modified>
</cp:coreProperties>
</file>